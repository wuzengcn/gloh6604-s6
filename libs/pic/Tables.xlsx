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1-Spring/GLOH-6604/gloh6604-s6/libs/pic/"/>
    </mc:Choice>
  </mc:AlternateContent>
  <xr:revisionPtr revIDLastSave="0" documentId="13_ncr:1_{98C3CDF4-D8F8-2245-B71C-7AB68EE45AB7}" xr6:coauthVersionLast="47" xr6:coauthVersionMax="47" xr10:uidLastSave="{00000000-0000-0000-0000-000000000000}"/>
  <bookViews>
    <workbookView xWindow="0" yWindow="620" windowWidth="38400" windowHeight="19040" xr2:uid="{C72B4BE8-9F61-F743-AE27-077963785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G3" i="1"/>
  <c r="H3" i="1"/>
  <c r="F3" i="1"/>
  <c r="B4" i="1" l="1" a="1"/>
  <c r="B4" i="1" l="1"/>
  <c r="G4" i="1"/>
  <c r="H4" i="1"/>
  <c r="B5" i="1" l="1" a="1"/>
  <c r="F4" i="1"/>
  <c r="B5" i="1" l="1"/>
  <c r="G5" i="1"/>
  <c r="H5" i="1"/>
  <c r="B6" i="1" l="1" a="1"/>
  <c r="F5" i="1"/>
  <c r="B6" i="1" l="1"/>
  <c r="H6" i="1"/>
  <c r="G6" i="1"/>
  <c r="B7" i="1" l="1" a="1"/>
  <c r="F6" i="1"/>
  <c r="B7" i="1" l="1"/>
  <c r="G7" i="1"/>
  <c r="H7" i="1"/>
  <c r="B8" i="1" l="1" a="1"/>
  <c r="F7" i="1"/>
  <c r="B8" i="1" l="1"/>
  <c r="G8" i="1"/>
  <c r="H8" i="1"/>
  <c r="B9" i="1" l="1" a="1"/>
  <c r="F8" i="1"/>
  <c r="B9" i="1" l="1"/>
  <c r="G9" i="1"/>
  <c r="H9" i="1"/>
  <c r="B10" i="1" l="1" a="1"/>
  <c r="F9" i="1"/>
  <c r="B10" i="1" l="1"/>
  <c r="G10" i="1"/>
  <c r="H10" i="1"/>
  <c r="B11" i="1" l="1" a="1"/>
  <c r="F10" i="1"/>
  <c r="B11" i="1" l="1"/>
  <c r="G11" i="1"/>
  <c r="H11" i="1"/>
  <c r="B12" i="1" l="1" a="1"/>
  <c r="F11" i="1"/>
  <c r="B12" i="1" l="1"/>
  <c r="G12" i="1"/>
  <c r="H12" i="1"/>
  <c r="B13" i="1" l="1" a="1"/>
  <c r="F12" i="1"/>
  <c r="B13" i="1" l="1"/>
  <c r="G13" i="1"/>
  <c r="H13" i="1"/>
  <c r="B14" i="1" l="1" a="1"/>
  <c r="F13" i="1"/>
  <c r="B14" i="1" l="1"/>
  <c r="G14" i="1"/>
  <c r="H14" i="1"/>
  <c r="B15" i="1" l="1" a="1"/>
  <c r="F14" i="1"/>
  <c r="B15" i="1" l="1"/>
  <c r="G15" i="1"/>
  <c r="H15" i="1"/>
  <c r="B16" i="1" l="1" a="1"/>
  <c r="F15" i="1"/>
  <c r="B16" i="1" l="1"/>
  <c r="H16" i="1"/>
  <c r="G16" i="1"/>
  <c r="B17" i="1" l="1" a="1"/>
  <c r="F16" i="1"/>
  <c r="B17" i="1" l="1"/>
  <c r="G17" i="1"/>
  <c r="H17" i="1"/>
  <c r="B18" i="1" l="1" a="1"/>
  <c r="F17" i="1"/>
  <c r="B18" i="1" l="1"/>
  <c r="G18" i="1"/>
  <c r="H18" i="1"/>
  <c r="B19" i="1" l="1" a="1"/>
  <c r="F18" i="1"/>
  <c r="B19" i="1" l="1"/>
  <c r="G19" i="1"/>
  <c r="H19" i="1"/>
  <c r="B20" i="1" l="1" a="1"/>
  <c r="F19" i="1"/>
  <c r="B20" i="1" l="1"/>
  <c r="G20" i="1"/>
  <c r="H20" i="1"/>
  <c r="B21" i="1" l="1" a="1"/>
  <c r="F20" i="1"/>
  <c r="B21" i="1" l="1"/>
  <c r="G21" i="1"/>
  <c r="H21" i="1"/>
  <c r="B22" i="1" l="1" a="1"/>
  <c r="F21" i="1"/>
  <c r="B22" i="1" l="1"/>
  <c r="H22" i="1"/>
  <c r="G22" i="1"/>
  <c r="B23" i="1" l="1" a="1"/>
  <c r="F22" i="1"/>
  <c r="B23" i="1" l="1"/>
  <c r="G23" i="1"/>
  <c r="H23" i="1"/>
  <c r="B24" i="1" l="1" a="1"/>
  <c r="F23" i="1"/>
  <c r="B24" i="1" l="1"/>
  <c r="G24" i="1"/>
  <c r="H24" i="1"/>
  <c r="B25" i="1" l="1" a="1"/>
  <c r="F24" i="1"/>
  <c r="B25" i="1" l="1"/>
  <c r="G25" i="1"/>
  <c r="H25" i="1"/>
  <c r="B26" i="1" l="1" a="1"/>
  <c r="F25" i="1"/>
  <c r="B26" i="1" l="1"/>
  <c r="H26" i="1"/>
  <c r="G26" i="1"/>
  <c r="B27" i="1" l="1" a="1"/>
  <c r="F26" i="1"/>
  <c r="B27" i="1" l="1"/>
  <c r="G27" i="1"/>
  <c r="H27" i="1"/>
  <c r="B28" i="1" l="1" a="1"/>
  <c r="F27" i="1"/>
  <c r="B28" i="1" l="1"/>
  <c r="G28" i="1"/>
  <c r="H28" i="1"/>
  <c r="B29" i="1" l="1" a="1"/>
  <c r="F28" i="1"/>
  <c r="B29" i="1" l="1"/>
  <c r="H29" i="1"/>
  <c r="G29" i="1"/>
  <c r="B30" i="1" l="1" a="1"/>
  <c r="F29" i="1"/>
  <c r="B30" i="1" l="1"/>
  <c r="G30" i="1"/>
  <c r="H30" i="1"/>
  <c r="B31" i="1" l="1" a="1"/>
  <c r="F30" i="1"/>
  <c r="B31" i="1" l="1"/>
  <c r="G31" i="1"/>
  <c r="H31" i="1"/>
  <c r="B32" i="1" l="1" a="1"/>
  <c r="F31" i="1"/>
  <c r="B32" i="1" l="1"/>
  <c r="H32" i="1"/>
  <c r="G32" i="1"/>
  <c r="B33" i="1" l="1" a="1"/>
  <c r="F32" i="1"/>
  <c r="B33" i="1" l="1"/>
  <c r="G33" i="1"/>
  <c r="H33" i="1"/>
  <c r="B34" i="1" l="1" a="1"/>
  <c r="F33" i="1"/>
  <c r="B34" i="1" l="1"/>
  <c r="G34" i="1"/>
  <c r="H34" i="1"/>
  <c r="B35" i="1" l="1" a="1"/>
  <c r="F34" i="1"/>
  <c r="B35" i="1" l="1"/>
  <c r="G35" i="1"/>
  <c r="H35" i="1"/>
  <c r="B36" i="1" l="1" a="1"/>
  <c r="F35" i="1"/>
  <c r="B36" i="1" l="1"/>
  <c r="H36" i="1"/>
  <c r="G36" i="1"/>
  <c r="B37" i="1" l="1" a="1"/>
  <c r="F36" i="1"/>
  <c r="B37" i="1" l="1"/>
  <c r="G37" i="1"/>
  <c r="H37" i="1"/>
  <c r="B38" i="1" l="1" a="1"/>
  <c r="F37" i="1"/>
  <c r="B38" i="1" l="1"/>
  <c r="G38" i="1"/>
  <c r="H38" i="1"/>
  <c r="B39" i="1" l="1" a="1"/>
  <c r="F38" i="1"/>
  <c r="B39" i="1" l="1"/>
  <c r="G39" i="1"/>
  <c r="H39" i="1"/>
  <c r="B40" i="1" l="1" a="1"/>
  <c r="F39" i="1"/>
  <c r="B40" i="1" l="1"/>
  <c r="G40" i="1"/>
  <c r="H40" i="1"/>
  <c r="B41" i="1" l="1" a="1"/>
  <c r="F40" i="1"/>
  <c r="B41" i="1" l="1"/>
  <c r="G41" i="1"/>
  <c r="H41" i="1"/>
  <c r="B42" i="1" l="1" a="1"/>
  <c r="F41" i="1"/>
  <c r="B42" i="1" l="1"/>
  <c r="H42" i="1"/>
  <c r="G42" i="1"/>
  <c r="B43" i="1" l="1" a="1"/>
  <c r="F42" i="1"/>
  <c r="B43" i="1" l="1"/>
  <c r="F43" i="1" s="1"/>
  <c r="G43" i="1"/>
  <c r="H4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<sst xmlns="http://schemas.openxmlformats.org/spreadsheetml/2006/main" count="21" uniqueCount="11">
  <si>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Healthy</t>
  </si>
  <si>
    <t>Ill</t>
  </si>
  <si>
    <t>Dead</t>
  </si>
  <si>
    <t>Transition probility</t>
  </si>
  <si>
    <t>ill</t>
  </si>
  <si>
    <t>death</t>
  </si>
  <si>
    <t>Year</t>
  </si>
  <si>
    <t>Quality of life weight</t>
  </si>
  <si>
    <t>Probability of an individual in health status by cycle</t>
  </si>
  <si>
    <t xml:space="preserve">QALYs </t>
  </si>
  <si>
    <t>Number of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</si>
</sst>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3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17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Healthy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Sheet1!$B$3:$B$43</c:f>
              <c:numCache>
                <c:formatCode>0.00</c:formatCode>
                <c:ptCount val="41"/>
                <c:pt idx="0">
                  <c:v>1</c:v>
                </c:pt>
                <c:pt idx="1">
                  <c:v>0.8</c:v>
                </c:pt>
                <c:pt idx="2">
                  <c:v>0.64750000000000008</c:v>
                </c:pt>
                <c:pt idx="3">
                  <c:v>0.52925000000000011</c:v>
                </c:pt>
                <c:pt idx="4">
                  <c:v>0.43613125000000008</c:v>
                </c:pt>
                <c:pt idx="5">
                  <c:v>0.36178625000000009</c:v>
                </c:pt>
                <c:pt idx="6">
                  <c:v>0.30171685937500009</c:v>
                </c:pt>
                <c:pt idx="7">
                  <c:v>0.25268838593750009</c:v>
                </c:pt>
                <c:pt idx="8">
                  <c:v>0.21233401410156258</c:v>
                </c:pt>
                <c:pt idx="9">
                  <c:v>0.17889068792187507</c:v>
                </c:pt>
                <c:pt idx="10">
                  <c:v>0.15102148909169927</c:v>
                </c:pt>
                <c:pt idx="11">
                  <c:v>0.12769512856071294</c:v>
                </c:pt>
                <c:pt idx="12">
                  <c:v>0.10810332011790555</c:v>
                </c:pt>
                <c:pt idx="13">
                  <c:v>9.1603421647064434E-2</c:v>
                </c:pt>
                <c:pt idx="14">
                  <c:v>7.7678048105453826E-2</c:v>
                </c:pt>
                <c:pt idx="15">
                  <c:v>6.5906181698177649E-2</c:v>
                </c:pt>
                <c:pt idx="16">
                  <c:v>5.5942150969003235E-2</c:v>
                </c:pt>
                <c:pt idx="17">
                  <c:v>4.7500061065261702E-2</c:v>
                </c:pt>
                <c:pt idx="18">
                  <c:v>4.0342053187518268E-2</c:v>
                </c:pt>
                <c:pt idx="19">
                  <c:v>3.4269296042720311E-2</c:v>
                </c:pt>
                <c:pt idx="20">
                  <c:v>2.9114959677976622E-2</c:v>
                </c:pt>
                <c:pt idx="21">
                  <c:v>2.4738653453361962E-2</c:v>
                </c:pt>
                <c:pt idx="22">
                  <c:v>2.1021964957960861E-2</c:v>
                </c:pt>
                <c:pt idx="23">
                  <c:v>1.7864841403958807E-2</c:v>
                </c:pt>
                <c:pt idx="24">
                  <c:v>1.5182626466664835E-2</c:v>
                </c:pt>
                <c:pt idx="25">
                  <c:v>1.2903614824310012E-2</c:v>
                </c:pt>
                <c:pt idx="26">
                  <c:v>1.0967021113632696E-2</c:v>
                </c:pt>
                <c:pt idx="27">
                  <c:v>9.3212844800177625E-3</c:v>
                </c:pt>
                <c:pt idx="28">
                  <c:v>7.9226475547445781E-3</c:v>
                </c:pt>
                <c:pt idx="29">
                  <c:v>6.733961656907054E-3</c:v>
                </c:pt>
                <c:pt idx="30">
                  <c:v>5.7236797113642017E-3</c:v>
                </c:pt>
                <c:pt idx="31">
                  <c:v>4.8650057516051552E-3</c:v>
                </c:pt>
                <c:pt idx="32">
                  <c:v>4.1351755868790111E-3</c:v>
                </c:pt>
                <c:pt idx="33">
                  <c:v>3.5148477025566689E-3</c:v>
                </c:pt>
                <c:pt idx="34">
                  <c:v>2.9875870420843498E-3</c:v>
                </c:pt>
                <c:pt idx="35">
                  <c:v>2.5394272074639648E-3</c:v>
                </c:pt>
                <c:pt idx="36">
                  <c:v>2.1584989704443438E-3</c:v>
                </c:pt>
                <c:pt idx="37">
                  <c:v>1.8347149235426754E-3</c:v>
                </c:pt>
                <c:pt idx="38">
                  <c:v>1.5595017041435131E-3</c:v>
                </c:pt>
                <c:pt idx="39">
                  <c:v>1.3255725609579417E-3</c:v>
                </c:pt>
                <c:pt idx="40">
                  <c:v>1.1267341498976213E-3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B-504E-B478-952A29C1805E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Ill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Sheet1!$C$3:$C$43</c:f>
              <c:numCache>
                <c:formatCode>0.00</c:formatCode>
                <c:ptCount val="41"/>
                <c:pt idx="0">
                  <c:v>0</c:v>
                </c:pt>
                <c:pt idx="1">
                  <c:v>0.15</c:v>
                </c:pt>
                <c:pt idx="2">
                  <c:v>0.22499999999999998</c:v>
                </c:pt>
                <c:pt idx="3">
                  <c:v>0.25462499999999999</c:v>
                </c:pt>
                <c:pt idx="4">
                  <c:v>0.25762499999999999</c:v>
                </c:pt>
                <c:pt idx="5">
                  <c:v>0.24575718749999997</c:v>
                </c:pt>
                <c:pt idx="6">
                  <c:v>0.22629796874999997</c:v>
                </c:pt>
                <c:pt idx="7">
                  <c:v>0.20366610703124999</c:v>
                </c:pt>
                <c:pt idx="8">
                  <c:v>0.1804695328125</c:v>
                </c:pt>
                <c:pt idx="9">
                  <c:v>0.15817877508398437</c:v>
                </c:pt>
                <c:pt idx="10">
                  <c:v>0.1375587457470703</c:v>
                </c:pt>
                <c:pt idx="11">
                  <c:v>0.11894434538670409</c:v>
                </c:pt>
                <c:pt idx="12">
                  <c:v>0.10241531105479981</c:v>
                </c:pt>
                <c:pt idx="13">
                  <c:v>8.7906215756045694E-2</c:v>
                </c:pt>
                <c:pt idx="14">
                  <c:v>7.5274864276291639E-2</c:v>
                </c:pt>
                <c:pt idx="15">
                  <c:v>6.4344112209222218E-2</c:v>
                </c:pt>
                <c:pt idx="16">
                  <c:v>5.4926805801182192E-2</c:v>
                </c:pt>
                <c:pt idx="17">
                  <c:v>4.6840086706178022E-2</c:v>
                </c:pt>
                <c:pt idx="18">
                  <c:v>3.9913069854113865E-2</c:v>
                </c:pt>
                <c:pt idx="19">
                  <c:v>3.3990456876007442E-2</c:v>
                </c:pt>
                <c:pt idx="20">
                  <c:v>2.8933714219613254E-2</c:v>
                </c:pt>
                <c:pt idx="21">
                  <c:v>2.4620843905425769E-2</c:v>
                </c:pt>
                <c:pt idx="22">
                  <c:v>2.0945388751802331E-2</c:v>
                </c:pt>
                <c:pt idx="23">
                  <c:v>1.7815066869955761E-2</c:v>
                </c:pt>
                <c:pt idx="24">
                  <c:v>1.5150273019562852E-2</c:v>
                </c:pt>
                <c:pt idx="25">
                  <c:v>1.2882585083693721E-2</c:v>
                </c:pt>
                <c:pt idx="26">
                  <c:v>1.0953351782232106E-2</c:v>
                </c:pt>
                <c:pt idx="27">
                  <c:v>9.3123994146073769E-3</c:v>
                </c:pt>
                <c:pt idx="28">
                  <c:v>7.9168722622278281E-3</c:v>
                </c:pt>
                <c:pt idx="29">
                  <c:v>6.7302077167711661E-3</c:v>
                </c:pt>
                <c:pt idx="30">
                  <c:v>5.7212396502758743E-3</c:v>
                </c:pt>
                <c:pt idx="31">
                  <c:v>4.863419711897742E-3</c:v>
                </c:pt>
                <c:pt idx="32">
                  <c:v>4.1341446610691926E-3</c:v>
                </c:pt>
                <c:pt idx="33">
                  <c:v>3.514177600780286E-3</c:v>
                </c:pt>
                <c:pt idx="34">
                  <c:v>2.9871514759297001E-3</c:v>
                </c:pt>
                <c:pt idx="35">
                  <c:v>2.5391440894634424E-3</c:v>
                </c:pt>
                <c:pt idx="36">
                  <c:v>2.1583149437440041E-3</c:v>
                </c:pt>
                <c:pt idx="37">
                  <c:v>1.8345953061874544E-3</c:v>
                </c:pt>
                <c:pt idx="38">
                  <c:v>1.5594239528626194E-3</c:v>
                </c:pt>
                <c:pt idx="39">
                  <c:v>1.3255220226253603E-3</c:v>
                </c:pt>
                <c:pt idx="40">
                  <c:v>1.1267012999814435E-3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5B-504E-B478-952A29C1805E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Dead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Sheet1!$D$3:$D$43</c:f>
              <c:numCache>
                <c:formatCode>0.00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0.1275</c:v>
                </c:pt>
                <c:pt idx="3">
                  <c:v>0.21612500000000001</c:v>
                </c:pt>
                <c:pt idx="4">
                  <c:v>0.30624375000000004</c:v>
                </c:pt>
                <c:pt idx="5">
                  <c:v>0.39245656250000005</c:v>
                </c:pt>
                <c:pt idx="6">
                  <c:v>0.47198517187500005</c:v>
                </c:pt>
                <c:pt idx="7">
                  <c:v>0.54364550703125003</c:v>
                </c:pt>
                <c:pt idx="8">
                  <c:v>0.6071964530859375</c:v>
                </c:pt>
                <c:pt idx="9">
                  <c:v>0.66293053699414062</c:v>
                </c:pt>
                <c:pt idx="10">
                  <c:v>0.71141976516123051</c:v>
                </c:pt>
                <c:pt idx="11">
                  <c:v>0.75336052605258308</c:v>
                </c:pt>
                <c:pt idx="12">
                  <c:v>0.7894813688272948</c:v>
                </c:pt>
                <c:pt idx="13">
                  <c:v>0.82049036259689001</c:v>
                </c:pt>
                <c:pt idx="14">
                  <c:v>0.84704708761825465</c:v>
                </c:pt>
                <c:pt idx="15">
                  <c:v>0.86974970609260027</c:v>
                </c:pt>
                <c:pt idx="16">
                  <c:v>0.88913104322981473</c:v>
                </c:pt>
                <c:pt idx="17">
                  <c:v>0.90565985222856049</c:v>
                </c:pt>
                <c:pt idx="18">
                  <c:v>0.91974487695836804</c:v>
                </c:pt>
                <c:pt idx="19">
                  <c:v>0.93174024708127245</c:v>
                </c:pt>
                <c:pt idx="20">
                  <c:v>0.94195132610241028</c:v>
                </c:pt>
                <c:pt idx="21">
                  <c:v>0.95064050264121247</c:v>
                </c:pt>
                <c:pt idx="22">
                  <c:v>0.95803264629023699</c:v>
                </c:pt>
                <c:pt idx="23">
                  <c:v>0.96432009172608557</c:v>
                </c:pt>
                <c:pt idx="24">
                  <c:v>0.96966710051377247</c:v>
                </c:pt>
                <c:pt idx="25">
                  <c:v>0.97421380009199643</c:v>
                </c:pt>
                <c:pt idx="26">
                  <c:v>0.97807962710413532</c:v>
                </c:pt>
                <c:pt idx="27">
                  <c:v>0.98136631610537495</c:v>
                </c:pt>
                <c:pt idx="28">
                  <c:v>0.98416048018302771</c:v>
                </c:pt>
                <c:pt idx="29">
                  <c:v>0.98653583062632189</c:v>
                </c:pt>
                <c:pt idx="30">
                  <c:v>0.98855508063836006</c:v>
                </c:pt>
                <c:pt idx="31">
                  <c:v>0.99027157453649728</c:v>
                </c:pt>
                <c:pt idx="32">
                  <c:v>0.99173067975205198</c:v>
                </c:pt>
                <c:pt idx="33">
                  <c:v>0.99297097469666318</c:v>
                </c:pt>
                <c:pt idx="34">
                  <c:v>0.99402526148198611</c:v>
                </c:pt>
                <c:pt idx="35">
                  <c:v>0.99492142870307276</c:v>
                </c:pt>
                <c:pt idx="36">
                  <c:v>0.99568318608581186</c:v>
                </c:pt>
                <c:pt idx="37">
                  <c:v>0.99633068977027006</c:v>
                </c:pt>
                <c:pt idx="38">
                  <c:v>0.99688107434299411</c:v>
                </c:pt>
                <c:pt idx="39">
                  <c:v>0.99734890541641696</c:v>
                </c:pt>
                <c:pt idx="40">
                  <c:v>0.99774656455012123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5B-504E-B478-952A29C18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514303"/>
        <c:axId val="1332319935"/>
      </c:scatterChart>
      <c:valAx>
        <c:axId val="140651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19935"/>
        <c:crosses val="autoZero"/>
        <c:crossBetween val="midCat"/>
      </c:valAx>
      <c:valAx>
        <c:axId val="133231993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14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628650</xdr:colOff>
      <xdr:row>24</xdr:row>
      <xdr:rowOff>133350</xdr:rowOff>
    </xdr:from>
    <xdr:to>
      <xdr:col>19</xdr:col>
      <xdr:colOff>247650</xdr:colOff>
      <xdr:row>38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4DC256-1A9C-C9F7-2127-ED21B08EC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CD5E-0E1B-A948-8EEC-A52C1DF9544F}">
  <dimension ref="A1:N43"/>
  <sheetViews>
    <sheetView tabSelected="1" workbookViewId="0">
      <selection activeCell="L22" sqref="L22"/>
    </sheetView>
  </sheetViews>
  <sheetFormatPr baseColWidth="10" defaultRowHeight="16" x14ac:dyDescent="0.2"/>
  <cols>
    <col min="5" max="5" width="6.1640625" customWidth="1"/>
    <col min="6" max="8" width="11.6640625" bestFit="1" customWidth="1"/>
    <col min="11" max="11" width="18.1640625" customWidth="1"/>
    <col min="12" max="12" width="11.5" bestFit="1" customWidth="1"/>
  </cols>
  <sheetData>
    <row r="1" spans="1:14" ht="36" customHeight="1" x14ac:dyDescent="0.2">
      <c r="B1" s="3" t="s">
        <v>8</v>
      </c>
      <c r="C1" s="3"/>
      <c r="D1" s="3"/>
      <c r="F1" s="2" t="s">
        <v>9</v>
      </c>
      <c r="G1" s="2"/>
      <c r="H1" s="2"/>
      <c r="K1" s="4" t="s">
        <v>10</v>
      </c>
      <c r="L1" s="5">
        <v>1</v>
      </c>
    </row>
    <row r="2" spans="1:14" x14ac:dyDescent="0.2">
      <c r="A2" t="s">
        <v>6</v>
      </c>
      <c r="B2" t="s">
        <v>0</v>
      </c>
      <c r="C2" t="s">
        <v>1</v>
      </c>
      <c r="D2" t="s">
        <v>2</v>
      </c>
      <c r="F2" t="s">
        <v>0</v>
      </c>
      <c r="G2" t="s">
        <v>1</v>
      </c>
      <c r="H2" t="s">
        <v>2</v>
      </c>
      <c r="K2" s="4" t="s">
        <v>3</v>
      </c>
    </row>
    <row r="3" spans="1:14" x14ac:dyDescent="0.2">
      <c r="A3">
        <v>0</v>
      </c>
      <c r="B3" s="1">
        <f>L1</f>
        <v>1</v>
      </c>
      <c r="C3" s="1">
        <v>0</v>
      </c>
      <c r="D3" s="1">
        <v>0</v>
      </c>
      <c r="F3" s="1">
        <f>B3*L$9</f>
        <v>1</v>
      </c>
      <c r="G3" s="1">
        <f t="shared" ref="G3:H3" si="0">C3*M$9</f>
        <v>0</v>
      </c>
      <c r="H3" s="1">
        <f t="shared" si="0"/>
        <v>0</v>
      </c>
      <c r="L3" t="s">
        <v>0</v>
      </c>
      <c r="M3" t="s">
        <v>4</v>
      </c>
      <c r="N3" t="s">
        <v>5</v>
      </c>
    </row>
    <row r="4" spans="1:14" x14ac:dyDescent="0.2">
      <c r="A4">
        <v>1</v>
      </c>
      <c r="B4" s="1" cm="1">
        <f t="array" ref="B4:D4">MMULT(B3:D3,$L$4:$N$6)</f>
        <v>0.8</v>
      </c>
      <c r="C4" s="1">
        <v>0.15</v>
      </c>
      <c r="D4" s="1">
        <v>0.05</v>
      </c>
      <c r="F4" s="1">
        <f t="shared" ref="F4:F7" si="1">B4*L$9</f>
        <v>0.8</v>
      </c>
      <c r="G4" s="1">
        <f t="shared" ref="G4:G7" si="2">C4*M$9</f>
        <v>0.09</v>
      </c>
      <c r="H4" s="1">
        <f t="shared" ref="H4:H7" si="3">D4*N$9</f>
        <v>0</v>
      </c>
      <c r="K4" t="s">
        <v>0</v>
      </c>
      <c r="L4" s="1">
        <v>0.8</v>
      </c>
      <c r="M4" s="1">
        <v>0.15</v>
      </c>
      <c r="N4" s="1">
        <v>0.05</v>
      </c>
    </row>
    <row r="5" spans="1:14" x14ac:dyDescent="0.2">
      <c r="A5">
        <v>2</v>
      </c>
      <c r="B5" s="1" cm="1">
        <f t="array" ref="B5:D5">MMULT(B4:D4,$L$4:$N$6)</f>
        <v>0.64750000000000008</v>
      </c>
      <c r="C5" s="1">
        <v>0.22499999999999998</v>
      </c>
      <c r="D5" s="1">
        <v>0.1275</v>
      </c>
      <c r="F5" s="1">
        <f t="shared" si="1"/>
        <v>0.64750000000000008</v>
      </c>
      <c r="G5" s="1">
        <f t="shared" si="2"/>
        <v>0.13499999999999998</v>
      </c>
      <c r="H5" s="1">
        <f t="shared" si="3"/>
        <v>0</v>
      </c>
      <c r="K5" t="s">
        <v>4</v>
      </c>
      <c r="L5" s="1">
        <v>0.05</v>
      </c>
      <c r="M5" s="1">
        <v>0.7</v>
      </c>
      <c r="N5" s="1">
        <v>0.25</v>
      </c>
    </row>
    <row r="6" spans="1:14" x14ac:dyDescent="0.2">
      <c r="A6">
        <v>3</v>
      </c>
      <c r="B6" s="1" cm="1">
        <f t="array" ref="B6:D6">MMULT(B5:D5,$L$4:$N$6)</f>
        <v>0.52925000000000011</v>
      </c>
      <c r="C6" s="1">
        <v>0.25462499999999999</v>
      </c>
      <c r="D6" s="1">
        <v>0.21612500000000001</v>
      </c>
      <c r="F6" s="1">
        <f t="shared" si="1"/>
        <v>0.52925000000000011</v>
      </c>
      <c r="G6" s="1">
        <f t="shared" si="2"/>
        <v>0.15277499999999999</v>
      </c>
      <c r="H6" s="1">
        <f t="shared" si="3"/>
        <v>0</v>
      </c>
      <c r="K6" t="s">
        <v>5</v>
      </c>
      <c r="L6" s="1">
        <v>0</v>
      </c>
      <c r="M6" s="1">
        <v>0</v>
      </c>
      <c r="N6" s="1">
        <v>1</v>
      </c>
    </row>
    <row r="7" spans="1:14" x14ac:dyDescent="0.2">
      <c r="A7">
        <v>4</v>
      </c>
      <c r="B7" s="1" cm="1">
        <f t="array" ref="B7:D7">MMULT(B6:D6,$L$4:$N$6)</f>
        <v>0.43613125000000008</v>
      </c>
      <c r="C7" s="1">
        <v>0.25762499999999999</v>
      </c>
      <c r="D7" s="1">
        <v>0.30624375000000004</v>
      </c>
      <c r="F7" s="1">
        <f t="shared" si="1"/>
        <v>0.43613125000000008</v>
      </c>
      <c r="G7" s="1">
        <f t="shared" si="2"/>
        <v>0.15457499999999999</v>
      </c>
      <c r="H7" s="1">
        <f t="shared" si="3"/>
        <v>0</v>
      </c>
    </row>
    <row r="8" spans="1:14" x14ac:dyDescent="0.2">
      <c r="A8">
        <v>5</v>
      </c>
      <c r="B8" s="1" cm="1">
        <f t="array" ref="B8:D8">MMULT(B7:D7,$L$4:$N$6)</f>
        <v>0.36178625000000009</v>
      </c>
      <c r="C8" s="1">
        <v>0.24575718749999997</v>
      </c>
      <c r="D8" s="1">
        <v>0.39245656250000005</v>
      </c>
      <c r="F8" s="1">
        <f t="shared" ref="F8:F43" si="4">B8*L$9</f>
        <v>0.36178625000000009</v>
      </c>
      <c r="G8" s="1">
        <f t="shared" ref="G8:G43" si="5">C8*M$9</f>
        <v>0.14745431249999999</v>
      </c>
      <c r="H8" s="1">
        <f t="shared" ref="H8:H43" si="6">D8*N$9</f>
        <v>0</v>
      </c>
      <c r="L8" t="s">
        <v>0</v>
      </c>
      <c r="M8" t="s">
        <v>4</v>
      </c>
      <c r="N8" t="s">
        <v>5</v>
      </c>
    </row>
    <row r="9" spans="1:14" x14ac:dyDescent="0.2">
      <c r="A9">
        <v>6</v>
      </c>
      <c r="B9" s="1" cm="1">
        <f t="array" ref="B9:D9">MMULT(B8:D8,$L$4:$N$6)</f>
        <v>0.30171685937500009</v>
      </c>
      <c r="C9" s="1">
        <v>0.22629796874999997</v>
      </c>
      <c r="D9" s="1">
        <v>0.47198517187500005</v>
      </c>
      <c r="F9" s="1">
        <f t="shared" si="4"/>
        <v>0.30171685937500009</v>
      </c>
      <c r="G9" s="1">
        <f t="shared" si="5"/>
        <v>0.13577878124999998</v>
      </c>
      <c r="H9" s="1">
        <f t="shared" si="6"/>
        <v>0</v>
      </c>
      <c r="K9" s="4" t="s">
        <v>7</v>
      </c>
      <c r="L9" s="1">
        <v>1</v>
      </c>
      <c r="M9" s="1">
        <v>0.6</v>
      </c>
      <c r="N9" s="1">
        <v>0</v>
      </c>
    </row>
    <row r="10" spans="1:14" x14ac:dyDescent="0.2">
      <c r="A10">
        <v>7</v>
      </c>
      <c r="B10" s="1" cm="1">
        <f t="array" ref="B10:D10">MMULT(B9:D9,$L$4:$N$6)</f>
        <v>0.25268838593750009</v>
      </c>
      <c r="C10" s="1">
        <v>0.20366610703124999</v>
      </c>
      <c r="D10" s="1">
        <v>0.54364550703125003</v>
      </c>
      <c r="F10" s="1">
        <f t="shared" si="4"/>
        <v>0.25268838593750009</v>
      </c>
      <c r="G10" s="1">
        <f t="shared" si="5"/>
        <v>0.12219966421874999</v>
      </c>
      <c r="H10" s="1">
        <f t="shared" si="6"/>
        <v>0</v>
      </c>
    </row>
    <row r="11" spans="1:14" x14ac:dyDescent="0.2">
      <c r="A11">
        <v>8</v>
      </c>
      <c r="B11" s="1" cm="1">
        <f t="array" ref="B11:D11">MMULT(B10:D10,$L$4:$N$6)</f>
        <v>0.21233401410156258</v>
      </c>
      <c r="C11" s="1">
        <v>0.1804695328125</v>
      </c>
      <c r="D11" s="1">
        <v>0.6071964530859375</v>
      </c>
      <c r="F11" s="1">
        <f t="shared" si="4"/>
        <v>0.21233401410156258</v>
      </c>
      <c r="G11" s="1">
        <f t="shared" si="5"/>
        <v>0.1082817196875</v>
      </c>
      <c r="H11" s="1">
        <f t="shared" si="6"/>
        <v>0</v>
      </c>
    </row>
    <row r="12" spans="1:14" x14ac:dyDescent="0.2">
      <c r="A12">
        <v>9</v>
      </c>
      <c r="B12" s="1" cm="1">
        <f t="array" ref="B12:D12">MMULT(B11:D11,$L$4:$N$6)</f>
        <v>0.17889068792187507</v>
      </c>
      <c r="C12" s="1">
        <v>0.15817877508398437</v>
      </c>
      <c r="D12" s="1">
        <v>0.66293053699414062</v>
      </c>
      <c r="F12" s="1">
        <f t="shared" si="4"/>
        <v>0.17889068792187507</v>
      </c>
      <c r="G12" s="1">
        <f t="shared" si="5"/>
        <v>9.4907265050390613E-2</v>
      </c>
      <c r="H12" s="1">
        <f t="shared" si="6"/>
        <v>0</v>
      </c>
    </row>
    <row r="13" spans="1:14" x14ac:dyDescent="0.2">
      <c r="A13">
        <v>10</v>
      </c>
      <c r="B13" s="1" cm="1">
        <f t="array" ref="B13:D13">MMULT(B12:D12,$L$4:$N$6)</f>
        <v>0.15102148909169927</v>
      </c>
      <c r="C13" s="1">
        <v>0.1375587457470703</v>
      </c>
      <c r="D13" s="1">
        <v>0.71141976516123051</v>
      </c>
      <c r="F13" s="1">
        <f t="shared" si="4"/>
        <v>0.15102148909169927</v>
      </c>
      <c r="G13" s="1">
        <f t="shared" si="5"/>
        <v>8.2535247448242186E-2</v>
      </c>
      <c r="H13" s="1">
        <f t="shared" si="6"/>
        <v>0</v>
      </c>
    </row>
    <row r="14" spans="1:14" x14ac:dyDescent="0.2">
      <c r="A14">
        <v>11</v>
      </c>
      <c r="B14" s="1" cm="1">
        <f t="array" ref="B14:D14">MMULT(B13:D13,$L$4:$N$6)</f>
        <v>0.12769512856071294</v>
      </c>
      <c r="C14" s="1">
        <v>0.11894434538670409</v>
      </c>
      <c r="D14" s="1">
        <v>0.75336052605258308</v>
      </c>
      <c r="F14" s="1">
        <f t="shared" si="4"/>
        <v>0.12769512856071294</v>
      </c>
      <c r="G14" s="1">
        <f t="shared" si="5"/>
        <v>7.1366607232022455E-2</v>
      </c>
      <c r="H14" s="1">
        <f t="shared" si="6"/>
        <v>0</v>
      </c>
    </row>
    <row r="15" spans="1:14" x14ac:dyDescent="0.2">
      <c r="A15">
        <v>12</v>
      </c>
      <c r="B15" s="1" cm="1">
        <f t="array" ref="B15:D15">MMULT(B14:D14,$L$4:$N$6)</f>
        <v>0.10810332011790555</v>
      </c>
      <c r="C15" s="1">
        <v>0.10241531105479981</v>
      </c>
      <c r="D15" s="1">
        <v>0.7894813688272948</v>
      </c>
      <c r="F15" s="1">
        <f t="shared" si="4"/>
        <v>0.10810332011790555</v>
      </c>
      <c r="G15" s="1">
        <f t="shared" si="5"/>
        <v>6.1449186632879883E-2</v>
      </c>
      <c r="H15" s="1">
        <f t="shared" si="6"/>
        <v>0</v>
      </c>
    </row>
    <row r="16" spans="1:14" x14ac:dyDescent="0.2">
      <c r="A16">
        <v>13</v>
      </c>
      <c r="B16" s="1" cm="1">
        <f t="array" ref="B16:D16">MMULT(B15:D15,$L$4:$N$6)</f>
        <v>9.1603421647064434E-2</v>
      </c>
      <c r="C16" s="1">
        <v>8.7906215756045694E-2</v>
      </c>
      <c r="D16" s="1">
        <v>0.82049036259689001</v>
      </c>
      <c r="F16" s="1">
        <f t="shared" si="4"/>
        <v>9.1603421647064434E-2</v>
      </c>
      <c r="G16" s="1">
        <f t="shared" si="5"/>
        <v>5.2743729453627416E-2</v>
      </c>
      <c r="H16" s="1">
        <f t="shared" si="6"/>
        <v>0</v>
      </c>
    </row>
    <row r="17" spans="1:8" x14ac:dyDescent="0.2">
      <c r="A17">
        <v>14</v>
      </c>
      <c r="B17" s="1" cm="1">
        <f t="array" ref="B17:D17">MMULT(B16:D16,$L$4:$N$6)</f>
        <v>7.7678048105453826E-2</v>
      </c>
      <c r="C17" s="1">
        <v>7.5274864276291639E-2</v>
      </c>
      <c r="D17" s="1">
        <v>0.84704708761825465</v>
      </c>
      <c r="F17" s="1">
        <f t="shared" si="4"/>
        <v>7.7678048105453826E-2</v>
      </c>
      <c r="G17" s="1">
        <f t="shared" si="5"/>
        <v>4.5164918565774981E-2</v>
      </c>
      <c r="H17" s="1">
        <f t="shared" si="6"/>
        <v>0</v>
      </c>
    </row>
    <row r="18" spans="1:8" x14ac:dyDescent="0.2">
      <c r="A18">
        <v>15</v>
      </c>
      <c r="B18" s="1" cm="1">
        <f t="array" ref="B18:D18">MMULT(B17:D17,$L$4:$N$6)</f>
        <v>6.5906181698177649E-2</v>
      </c>
      <c r="C18" s="1">
        <v>6.4344112209222218E-2</v>
      </c>
      <c r="D18" s="1">
        <v>0.86974970609260027</v>
      </c>
      <c r="F18" s="1">
        <f t="shared" si="4"/>
        <v>6.5906181698177649E-2</v>
      </c>
      <c r="G18" s="1">
        <f t="shared" si="5"/>
        <v>3.8606467325533328E-2</v>
      </c>
      <c r="H18" s="1">
        <f t="shared" si="6"/>
        <v>0</v>
      </c>
    </row>
    <row r="19" spans="1:8" x14ac:dyDescent="0.2">
      <c r="A19">
        <v>16</v>
      </c>
      <c r="B19" s="1" cm="1">
        <f t="array" ref="B19:D19">MMULT(B18:D18,$L$4:$N$6)</f>
        <v>5.5942150969003235E-2</v>
      </c>
      <c r="C19" s="1">
        <v>5.4926805801182192E-2</v>
      </c>
      <c r="D19" s="1">
        <v>0.88913104322981473</v>
      </c>
      <c r="F19" s="1">
        <f t="shared" si="4"/>
        <v>5.5942150969003235E-2</v>
      </c>
      <c r="G19" s="1">
        <f t="shared" si="5"/>
        <v>3.2956083480709317E-2</v>
      </c>
      <c r="H19" s="1">
        <f t="shared" si="6"/>
        <v>0</v>
      </c>
    </row>
    <row r="20" spans="1:8" x14ac:dyDescent="0.2">
      <c r="A20">
        <v>17</v>
      </c>
      <c r="B20" s="1" cm="1">
        <f t="array" ref="B20:D20">MMULT(B19:D19,$L$4:$N$6)</f>
        <v>4.7500061065261702E-2</v>
      </c>
      <c r="C20" s="1">
        <v>4.6840086706178022E-2</v>
      </c>
      <c r="D20" s="1">
        <v>0.90565985222856049</v>
      </c>
      <c r="F20" s="1">
        <f t="shared" si="4"/>
        <v>4.7500061065261702E-2</v>
      </c>
      <c r="G20" s="1">
        <f t="shared" si="5"/>
        <v>2.8104052023706812E-2</v>
      </c>
      <c r="H20" s="1">
        <f t="shared" si="6"/>
        <v>0</v>
      </c>
    </row>
    <row r="21" spans="1:8" x14ac:dyDescent="0.2">
      <c r="A21">
        <v>18</v>
      </c>
      <c r="B21" s="1" cm="1">
        <f t="array" ref="B21:D21">MMULT(B20:D20,$L$4:$N$6)</f>
        <v>4.0342053187518268E-2</v>
      </c>
      <c r="C21" s="1">
        <v>3.9913069854113865E-2</v>
      </c>
      <c r="D21" s="1">
        <v>0.91974487695836804</v>
      </c>
      <c r="F21" s="1">
        <f t="shared" si="4"/>
        <v>4.0342053187518268E-2</v>
      </c>
      <c r="G21" s="1">
        <f t="shared" si="5"/>
        <v>2.3947841912468317E-2</v>
      </c>
      <c r="H21" s="1">
        <f t="shared" si="6"/>
        <v>0</v>
      </c>
    </row>
    <row r="22" spans="1:8" x14ac:dyDescent="0.2">
      <c r="A22">
        <v>19</v>
      </c>
      <c r="B22" s="1" cm="1">
        <f t="array" ref="B22:D22">MMULT(B21:D21,$L$4:$N$6)</f>
        <v>3.4269296042720311E-2</v>
      </c>
      <c r="C22" s="1">
        <v>3.3990456876007442E-2</v>
      </c>
      <c r="D22" s="1">
        <v>0.93174024708127245</v>
      </c>
      <c r="F22" s="1">
        <f t="shared" si="4"/>
        <v>3.4269296042720311E-2</v>
      </c>
      <c r="G22" s="1">
        <f t="shared" si="5"/>
        <v>2.0394274125604465E-2</v>
      </c>
      <c r="H22" s="1">
        <f t="shared" si="6"/>
        <v>0</v>
      </c>
    </row>
    <row r="23" spans="1:8" x14ac:dyDescent="0.2">
      <c r="A23">
        <v>20</v>
      </c>
      <c r="B23" s="1" cm="1">
        <f t="array" ref="B23:D23">MMULT(B22:D22,$L$4:$N$6)</f>
        <v>2.9114959677976622E-2</v>
      </c>
      <c r="C23" s="1">
        <v>2.8933714219613254E-2</v>
      </c>
      <c r="D23" s="1">
        <v>0.94195132610241028</v>
      </c>
      <c r="F23" s="1">
        <f t="shared" si="4"/>
        <v>2.9114959677976622E-2</v>
      </c>
      <c r="G23" s="1">
        <f t="shared" si="5"/>
        <v>1.7360228531767951E-2</v>
      </c>
      <c r="H23" s="1">
        <f t="shared" si="6"/>
        <v>0</v>
      </c>
    </row>
    <row r="24" spans="1:8" x14ac:dyDescent="0.2">
      <c r="A24">
        <v>21</v>
      </c>
      <c r="B24" s="1" cm="1">
        <f t="array" ref="B24:D24">MMULT(B23:D23,$L$4:$N$6)</f>
        <v>2.4738653453361962E-2</v>
      </c>
      <c r="C24" s="1">
        <v>2.4620843905425769E-2</v>
      </c>
      <c r="D24" s="1">
        <v>0.95064050264121247</v>
      </c>
      <c r="F24" s="1">
        <f t="shared" si="4"/>
        <v>2.4738653453361962E-2</v>
      </c>
      <c r="G24" s="1">
        <f t="shared" si="5"/>
        <v>1.477250634325546E-2</v>
      </c>
      <c r="H24" s="1">
        <f t="shared" si="6"/>
        <v>0</v>
      </c>
    </row>
    <row r="25" spans="1:8" x14ac:dyDescent="0.2">
      <c r="A25">
        <v>22</v>
      </c>
      <c r="B25" s="1" cm="1">
        <f t="array" ref="B25:D25">MMULT(B24:D24,$L$4:$N$6)</f>
        <v>2.1021964957960861E-2</v>
      </c>
      <c r="C25" s="1">
        <v>2.0945388751802331E-2</v>
      </c>
      <c r="D25" s="1">
        <v>0.95803264629023699</v>
      </c>
      <c r="F25" s="1">
        <f t="shared" si="4"/>
        <v>2.1021964957960861E-2</v>
      </c>
      <c r="G25" s="1">
        <f t="shared" si="5"/>
        <v>1.2567233251081398E-2</v>
      </c>
      <c r="H25" s="1">
        <f t="shared" si="6"/>
        <v>0</v>
      </c>
    </row>
    <row r="26" spans="1:8" x14ac:dyDescent="0.2">
      <c r="A26">
        <v>23</v>
      </c>
      <c r="B26" s="1" cm="1">
        <f t="array" ref="B26:D26">MMULT(B25:D25,$L$4:$N$6)</f>
        <v>1.7864841403958807E-2</v>
      </c>
      <c r="C26" s="1">
        <v>1.7815066869955761E-2</v>
      </c>
      <c r="D26" s="1">
        <v>0.96432009172608557</v>
      </c>
      <c r="F26" s="1">
        <f t="shared" si="4"/>
        <v>1.7864841403958807E-2</v>
      </c>
      <c r="G26" s="1">
        <f t="shared" si="5"/>
        <v>1.0689040121973456E-2</v>
      </c>
      <c r="H26" s="1">
        <f t="shared" si="6"/>
        <v>0</v>
      </c>
    </row>
    <row r="27" spans="1:8" x14ac:dyDescent="0.2">
      <c r="A27">
        <v>24</v>
      </c>
      <c r="B27" s="1" cm="1">
        <f t="array" ref="B27:D27">MMULT(B26:D26,$L$4:$N$6)</f>
        <v>1.5182626466664835E-2</v>
      </c>
      <c r="C27" s="1">
        <v>1.5150273019562852E-2</v>
      </c>
      <c r="D27" s="1">
        <v>0.96966710051377247</v>
      </c>
      <c r="F27" s="1">
        <f t="shared" si="4"/>
        <v>1.5182626466664835E-2</v>
      </c>
      <c r="G27" s="1">
        <f t="shared" si="5"/>
        <v>9.0901638117377101E-3</v>
      </c>
      <c r="H27" s="1">
        <f t="shared" si="6"/>
        <v>0</v>
      </c>
    </row>
    <row r="28" spans="1:8" x14ac:dyDescent="0.2">
      <c r="A28">
        <v>25</v>
      </c>
      <c r="B28" s="1" cm="1">
        <f t="array" ref="B28:D28">MMULT(B27:D27,$L$4:$N$6)</f>
        <v>1.2903614824310012E-2</v>
      </c>
      <c r="C28" s="1">
        <v>1.2882585083693721E-2</v>
      </c>
      <c r="D28" s="1">
        <v>0.97421380009199643</v>
      </c>
      <c r="F28" s="1">
        <f t="shared" si="4"/>
        <v>1.2903614824310012E-2</v>
      </c>
      <c r="G28" s="1">
        <f t="shared" si="5"/>
        <v>7.7295510502162317E-3</v>
      </c>
      <c r="H28" s="1">
        <f t="shared" si="6"/>
        <v>0</v>
      </c>
    </row>
    <row r="29" spans="1:8" x14ac:dyDescent="0.2">
      <c r="A29">
        <v>26</v>
      </c>
      <c r="B29" s="1" cm="1">
        <f t="array" ref="B29:D29">MMULT(B28:D28,$L$4:$N$6)</f>
        <v>1.0967021113632696E-2</v>
      </c>
      <c r="C29" s="1">
        <v>1.0953351782232106E-2</v>
      </c>
      <c r="D29" s="1">
        <v>0.97807962710413532</v>
      </c>
      <c r="F29" s="1">
        <f t="shared" si="4"/>
        <v>1.0967021113632696E-2</v>
      </c>
      <c r="G29" s="1">
        <f t="shared" si="5"/>
        <v>6.5720110693392635E-3</v>
      </c>
      <c r="H29" s="1">
        <f t="shared" si="6"/>
        <v>0</v>
      </c>
    </row>
    <row r="30" spans="1:8" x14ac:dyDescent="0.2">
      <c r="A30">
        <v>27</v>
      </c>
      <c r="B30" s="1" cm="1">
        <f t="array" ref="B30:D30">MMULT(B29:D29,$L$4:$N$6)</f>
        <v>9.3212844800177625E-3</v>
      </c>
      <c r="C30" s="1">
        <v>9.3123994146073769E-3</v>
      </c>
      <c r="D30" s="1">
        <v>0.98136631610537495</v>
      </c>
      <c r="F30" s="1">
        <f t="shared" si="4"/>
        <v>9.3212844800177625E-3</v>
      </c>
      <c r="G30" s="1">
        <f t="shared" si="5"/>
        <v>5.5874396487644263E-3</v>
      </c>
      <c r="H30" s="1">
        <f t="shared" si="6"/>
        <v>0</v>
      </c>
    </row>
    <row r="31" spans="1:8" x14ac:dyDescent="0.2">
      <c r="A31">
        <v>28</v>
      </c>
      <c r="B31" s="1" cm="1">
        <f t="array" ref="B31:D31">MMULT(B30:D30,$L$4:$N$6)</f>
        <v>7.9226475547445781E-3</v>
      </c>
      <c r="C31" s="1">
        <v>7.9168722622278281E-3</v>
      </c>
      <c r="D31" s="1">
        <v>0.98416048018302771</v>
      </c>
      <c r="F31" s="1">
        <f t="shared" si="4"/>
        <v>7.9226475547445781E-3</v>
      </c>
      <c r="G31" s="1">
        <f t="shared" si="5"/>
        <v>4.7501233573366969E-3</v>
      </c>
      <c r="H31" s="1">
        <f t="shared" si="6"/>
        <v>0</v>
      </c>
    </row>
    <row r="32" spans="1:8" x14ac:dyDescent="0.2">
      <c r="A32">
        <v>29</v>
      </c>
      <c r="B32" s="1" cm="1">
        <f t="array" ref="B32:D32">MMULT(B31:D31,$L$4:$N$6)</f>
        <v>6.733961656907054E-3</v>
      </c>
      <c r="C32" s="1">
        <v>6.7302077167711661E-3</v>
      </c>
      <c r="D32" s="1">
        <v>0.98653583062632189</v>
      </c>
      <c r="F32" s="1">
        <f t="shared" si="4"/>
        <v>6.733961656907054E-3</v>
      </c>
      <c r="G32" s="1">
        <f t="shared" si="5"/>
        <v>4.0381246300626996E-3</v>
      </c>
      <c r="H32" s="1">
        <f t="shared" si="6"/>
        <v>0</v>
      </c>
    </row>
    <row r="33" spans="1:8" x14ac:dyDescent="0.2">
      <c r="A33">
        <v>30</v>
      </c>
      <c r="B33" s="1" cm="1">
        <f t="array" ref="B33:D33">MMULT(B32:D32,$L$4:$N$6)</f>
        <v>5.7236797113642017E-3</v>
      </c>
      <c r="C33" s="1">
        <v>5.7212396502758743E-3</v>
      </c>
      <c r="D33" s="1">
        <v>0.98855508063836006</v>
      </c>
      <c r="F33" s="1">
        <f t="shared" si="4"/>
        <v>5.7236797113642017E-3</v>
      </c>
      <c r="G33" s="1">
        <f t="shared" si="5"/>
        <v>3.4327437901655244E-3</v>
      </c>
      <c r="H33" s="1">
        <f t="shared" si="6"/>
        <v>0</v>
      </c>
    </row>
    <row r="34" spans="1:8" x14ac:dyDescent="0.2">
      <c r="A34">
        <v>31</v>
      </c>
      <c r="B34" s="1" cm="1">
        <f t="array" ref="B34:D34">MMULT(B33:D33,$L$4:$N$6)</f>
        <v>4.8650057516051552E-3</v>
      </c>
      <c r="C34" s="1">
        <v>4.863419711897742E-3</v>
      </c>
      <c r="D34" s="1">
        <v>0.99027157453649728</v>
      </c>
      <c r="F34" s="1">
        <f t="shared" si="4"/>
        <v>4.8650057516051552E-3</v>
      </c>
      <c r="G34" s="1">
        <f t="shared" si="5"/>
        <v>2.918051827138645E-3</v>
      </c>
      <c r="H34" s="1">
        <f t="shared" si="6"/>
        <v>0</v>
      </c>
    </row>
    <row r="35" spans="1:8" x14ac:dyDescent="0.2">
      <c r="A35">
        <v>32</v>
      </c>
      <c r="B35" s="1" cm="1">
        <f t="array" ref="B35:D35">MMULT(B34:D34,$L$4:$N$6)</f>
        <v>4.1351755868790111E-3</v>
      </c>
      <c r="C35" s="1">
        <v>4.1341446610691926E-3</v>
      </c>
      <c r="D35" s="1">
        <v>0.99173067975205198</v>
      </c>
      <c r="F35" s="1">
        <f t="shared" si="4"/>
        <v>4.1351755868790111E-3</v>
      </c>
      <c r="G35" s="1">
        <f t="shared" si="5"/>
        <v>2.4804867966415154E-3</v>
      </c>
      <c r="H35" s="1">
        <f t="shared" si="6"/>
        <v>0</v>
      </c>
    </row>
    <row r="36" spans="1:8" x14ac:dyDescent="0.2">
      <c r="A36">
        <v>33</v>
      </c>
      <c r="B36" s="1" cm="1">
        <f t="array" ref="B36:D36">MMULT(B35:D35,$L$4:$N$6)</f>
        <v>3.5148477025566689E-3</v>
      </c>
      <c r="C36" s="1">
        <v>3.514177600780286E-3</v>
      </c>
      <c r="D36" s="1">
        <v>0.99297097469666318</v>
      </c>
      <c r="F36" s="1">
        <f t="shared" si="4"/>
        <v>3.5148477025566689E-3</v>
      </c>
      <c r="G36" s="1">
        <f t="shared" si="5"/>
        <v>2.1085065604681714E-3</v>
      </c>
      <c r="H36" s="1">
        <f t="shared" si="6"/>
        <v>0</v>
      </c>
    </row>
    <row r="37" spans="1:8" x14ac:dyDescent="0.2">
      <c r="A37">
        <v>34</v>
      </c>
      <c r="B37" s="1" cm="1">
        <f t="array" ref="B37:D37">MMULT(B36:D36,$L$4:$N$6)</f>
        <v>2.9875870420843498E-3</v>
      </c>
      <c r="C37" s="1">
        <v>2.9871514759297001E-3</v>
      </c>
      <c r="D37" s="1">
        <v>0.99402526148198611</v>
      </c>
      <c r="F37" s="1">
        <f t="shared" si="4"/>
        <v>2.9875870420843498E-3</v>
      </c>
      <c r="G37" s="1">
        <f t="shared" si="5"/>
        <v>1.79229088555782E-3</v>
      </c>
      <c r="H37" s="1">
        <f t="shared" si="6"/>
        <v>0</v>
      </c>
    </row>
    <row r="38" spans="1:8" x14ac:dyDescent="0.2">
      <c r="A38">
        <v>35</v>
      </c>
      <c r="B38" s="1" cm="1">
        <f t="array" ref="B38:D38">MMULT(B37:D37,$L$4:$N$6)</f>
        <v>2.5394272074639648E-3</v>
      </c>
      <c r="C38" s="1">
        <v>2.5391440894634424E-3</v>
      </c>
      <c r="D38" s="1">
        <v>0.99492142870307276</v>
      </c>
      <c r="F38" s="1">
        <f t="shared" si="4"/>
        <v>2.5394272074639648E-3</v>
      </c>
      <c r="G38" s="1">
        <f t="shared" si="5"/>
        <v>1.5234864536780655E-3</v>
      </c>
      <c r="H38" s="1">
        <f t="shared" si="6"/>
        <v>0</v>
      </c>
    </row>
    <row r="39" spans="1:8" x14ac:dyDescent="0.2">
      <c r="A39">
        <v>36</v>
      </c>
      <c r="B39" s="1" cm="1">
        <f t="array" ref="B39:D39">MMULT(B38:D38,$L$4:$N$6)</f>
        <v>2.1584989704443438E-3</v>
      </c>
      <c r="C39" s="1">
        <v>2.1583149437440041E-3</v>
      </c>
      <c r="D39" s="1">
        <v>0.99568318608581186</v>
      </c>
      <c r="F39" s="1">
        <f t="shared" si="4"/>
        <v>2.1584989704443438E-3</v>
      </c>
      <c r="G39" s="1">
        <f t="shared" si="5"/>
        <v>1.2949889662464025E-3</v>
      </c>
      <c r="H39" s="1">
        <f t="shared" si="6"/>
        <v>0</v>
      </c>
    </row>
    <row r="40" spans="1:8" x14ac:dyDescent="0.2">
      <c r="A40">
        <v>37</v>
      </c>
      <c r="B40" s="1" cm="1">
        <f t="array" ref="B40:D40">MMULT(B39:D39,$L$4:$N$6)</f>
        <v>1.8347149235426754E-3</v>
      </c>
      <c r="C40" s="1">
        <v>1.8345953061874544E-3</v>
      </c>
      <c r="D40" s="1">
        <v>0.99633068977027006</v>
      </c>
      <c r="F40" s="1">
        <f t="shared" si="4"/>
        <v>1.8347149235426754E-3</v>
      </c>
      <c r="G40" s="1">
        <f t="shared" si="5"/>
        <v>1.1007571837124725E-3</v>
      </c>
      <c r="H40" s="1">
        <f t="shared" si="6"/>
        <v>0</v>
      </c>
    </row>
    <row r="41" spans="1:8" x14ac:dyDescent="0.2">
      <c r="A41">
        <v>38</v>
      </c>
      <c r="B41" s="1" cm="1">
        <f t="array" ref="B41:D41">MMULT(B40:D40,$L$4:$N$6)</f>
        <v>1.5595017041435131E-3</v>
      </c>
      <c r="C41" s="1">
        <v>1.5594239528626194E-3</v>
      </c>
      <c r="D41" s="1">
        <v>0.99688107434299411</v>
      </c>
      <c r="F41" s="1">
        <f t="shared" si="4"/>
        <v>1.5595017041435131E-3</v>
      </c>
      <c r="G41" s="1">
        <f t="shared" si="5"/>
        <v>9.3565437171757161E-4</v>
      </c>
      <c r="H41" s="1">
        <f t="shared" si="6"/>
        <v>0</v>
      </c>
    </row>
    <row r="42" spans="1:8" x14ac:dyDescent="0.2">
      <c r="A42">
        <v>39</v>
      </c>
      <c r="B42" s="1" cm="1">
        <f t="array" ref="B42:D42">MMULT(B41:D41,$L$4:$N$6)</f>
        <v>1.3255725609579417E-3</v>
      </c>
      <c r="C42" s="1">
        <v>1.3255220226253603E-3</v>
      </c>
      <c r="D42" s="1">
        <v>0.99734890541641696</v>
      </c>
      <c r="F42" s="1">
        <f t="shared" si="4"/>
        <v>1.3255725609579417E-3</v>
      </c>
      <c r="G42" s="1">
        <f t="shared" si="5"/>
        <v>7.9531321357521618E-4</v>
      </c>
      <c r="H42" s="1">
        <f t="shared" si="6"/>
        <v>0</v>
      </c>
    </row>
    <row r="43" spans="1:8" x14ac:dyDescent="0.2">
      <c r="A43">
        <v>40</v>
      </c>
      <c r="B43" s="1" cm="1">
        <f t="array" ref="B43:D43">MMULT(B42:D42,$L$4:$N$6)</f>
        <v>1.1267341498976213E-3</v>
      </c>
      <c r="C43" s="1">
        <v>1.1267012999814435E-3</v>
      </c>
      <c r="D43" s="1">
        <v>0.99774656455012123</v>
      </c>
      <c r="F43" s="1">
        <f t="shared" si="4"/>
        <v>1.1267341498976213E-3</v>
      </c>
      <c r="G43" s="1">
        <f t="shared" si="5"/>
        <v>6.7602077998886608E-4</v>
      </c>
      <c r="H43" s="1">
        <f t="shared" si="6"/>
        <v>0</v>
      </c>
    </row>
  </sheetData>
  <mergeCells count="2">
    <mergeCell ref="B1:D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2025-12-22T00:31:02Z</dcterms:created>
  <dcterms:modified xsi:type="dcterms:W3CDTF">2025-12-22T04:10:03Z</dcterms:modified>
</cp:coreProperties>
</file>